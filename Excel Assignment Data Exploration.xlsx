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10"/>
  </bookViews>
  <sheets>
    <sheet name="DB 1" sheetId="1" r:id="rId1"/>
    <sheet name="Excel Formulas" sheetId="2" r:id="rId2"/>
  </sheets>
  <definedNames>
    <definedName name="_xlnm._FilterDatabase" localSheetId="0" hidden="1">'DB 1'!$A$1:$M$52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<sst xmlns="http://schemas.openxmlformats.org/spreadsheetml/2006/main" count="312" uniqueCount="169">
  <si>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</si>
  <si>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</si>
  <si>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</si>
  <si>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</si>
  <si>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</si>
  <si>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</si>
  <si>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</si>
  <si>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</si>
  <si>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</si>
  <si>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Price range</t>
  </si>
  <si>
    <t>Day</t>
  </si>
  <si>
    <t>Country Code</t>
  </si>
  <si>
    <t>Month</t>
  </si>
  <si>
    <t>ORD-1001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</si>
  <si>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</si>
  <si>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</si>
  <si>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</si>
  <si>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</si>
  <si>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</si>
  <si>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</si>
  <si>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</si>
  <si>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</si>
  <si>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Desk Lamp</t>
  </si>
  <si>
    <t>Furniture</t>
  </si>
  <si>
    <t>ORD-1004</t>
  </si>
  <si>
    <t>Total Price</t>
  </si>
  <si>
    <t>ORD-1005</t>
  </si>
  <si>
    <t>West</t>
  </si>
  <si>
    <t>Marker Set</t>
  </si>
  <si>
    <t>Average Price</t>
  </si>
  <si>
    <t>ORD-1006</t>
  </si>
  <si>
    <t>East</t>
  </si>
  <si>
    <t>Mini Price</t>
  </si>
  <si>
    <t>ORD-1007</t>
  </si>
  <si>
    <t>Monitor 27"</t>
  </si>
  <si>
    <t>Max Price</t>
  </si>
  <si>
    <t>ORD-1008</t>
  </si>
  <si>
    <t>Laptop Pro</t>
  </si>
  <si>
    <t>Electronics Price</t>
  </si>
  <si>
    <t>ORD-1009</t>
  </si>
  <si>
    <t xml:space="preserve">Price less than 100  </t>
  </si>
  <si>
    <t>ORD-1010</t>
  </si>
  <si>
    <t>ORD-1011</t>
  </si>
  <si>
    <t>ORD-1012</t>
  </si>
  <si>
    <t>Pen Pack</t>
  </si>
  <si>
    <t>ORD-1013</t>
  </si>
  <si>
    <t>ORD-1014</t>
  </si>
  <si>
    <t>South</t>
  </si>
  <si>
    <t>Keyboard</t>
  </si>
  <si>
    <t>ORD-1015</t>
  </si>
  <si>
    <t>ORD-1016</t>
  </si>
  <si>
    <t>ORD-1017</t>
  </si>
  <si>
    <t>ORD-1018</t>
  </si>
  <si>
    <t>ORD-1019</t>
  </si>
  <si>
    <t>ORD-1020</t>
  </si>
  <si>
    <t>Office Chair</t>
  </si>
  <si>
    <t>ORD-1021</t>
  </si>
  <si>
    <t>ORD-1022</t>
  </si>
  <si>
    <t>ORD-1023</t>
  </si>
  <si>
    <t>ORD-1024</t>
  </si>
  <si>
    <t>ORD-1025</t>
  </si>
  <si>
    <t>ORD-1026</t>
  </si>
  <si>
    <t>Filing Cabinet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</si>
  <si>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</si>
  <si>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</si>
  <si>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</si>
  <si>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</si>
  <si>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</si>
  <si>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</si>
  <si>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</si>
  <si>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</si>
  <si>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</si>
  <si>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</si>
  <si>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</si>
  <si>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</si>
  <si>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</si>
  <si>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</si>
  <si>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</si>
  <si>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</si>
  <si>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</si>
  <si>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</si>
  <si>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</si>
  <si>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</si>
  <si>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</si>
  <si>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</si>
  <si>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</si>
  <si>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</si>
  <si>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Introduction to Excel Formulas</t>
  </si>
  <si>
    <t>1. Statistical Functions</t>
  </si>
  <si>
    <t>Functions</t>
  </si>
  <si>
    <t>Description</t>
  </si>
  <si>
    <t>Example Formula</t>
  </si>
  <si>
    <t>Data output</t>
  </si>
  <si>
    <t>Mean (Average)</t>
  </si>
  <si>
    <t>Sum of all values ÷ number of values</t>
  </si>
  <si>
    <t>AVERAGE(A1:A10)</t>
  </si>
  <si>
    <t>Median</t>
  </si>
  <si>
    <t>Middle value in the sorted dataset</t>
  </si>
  <si>
    <t>MEDIAN(A1:A10)</t>
  </si>
  <si>
    <t>Mode (Single)</t>
  </si>
  <si>
    <t>Most frequently occurring value</t>
  </si>
  <si>
    <t>MODE.SNGL(A1:A10)</t>
  </si>
  <si>
    <t>Mode (Multiple)</t>
  </si>
  <si>
    <t>All modes in a dataset (if more than one)</t>
  </si>
  <si>
    <t>MODE.MULT(A1:A10)</t>
  </si>
  <si>
    <t>2. Mathematical &amp; Aggregate Functions</t>
  </si>
  <si>
    <t>Purpose</t>
  </si>
  <si>
    <t>SUM</t>
  </si>
  <si>
    <t>Adds numbers</t>
  </si>
  <si>
    <t>SUM(A1:A5)</t>
  </si>
  <si>
    <t>SUMIF</t>
  </si>
  <si>
    <t>Sum with condition</t>
  </si>
  <si>
    <t>SUMIF(A1:A10, "&gt;50")</t>
  </si>
  <si>
    <t>MIN</t>
  </si>
  <si>
    <t>Finds minimum</t>
  </si>
  <si>
    <t>MIN(B1:B10)</t>
  </si>
  <si>
    <t>MAX</t>
  </si>
  <si>
    <t>Finds maximum</t>
  </si>
  <si>
    <t>MAX(C1:C10)</t>
  </si>
  <si>
    <t>COUNT</t>
  </si>
  <si>
    <t>Counts numbers</t>
  </si>
  <si>
    <t>COUNT(A1:A10)</t>
  </si>
  <si>
    <t>COUNTBLANK</t>
  </si>
  <si>
    <t>Counts empty cells</t>
  </si>
  <si>
    <t>COUNTBLANK(A1:A10)</t>
  </si>
  <si>
    <t>COUNTIF</t>
  </si>
  <si>
    <t>Count with condition</t>
  </si>
  <si>
    <t>COUNTIF(B1:B20, "&gt;=80")</t>
  </si>
  <si>
    <t>AVERAGEIF</t>
  </si>
  <si>
    <t>Average with condition</t>
  </si>
  <si>
    <t>AVERAGEIF(C1:C10, "&gt;50")</t>
  </si>
  <si>
    <t>AVERAGEIFS</t>
  </si>
  <si>
    <t>Average with multiple condition</t>
  </si>
  <si>
    <t>AVERAGEIFS(D1:D20, B1:B20, "&gt;=70", C1:C20, "&lt;100")</t>
  </si>
  <si>
    <t>3. Logical Functions</t>
  </si>
  <si>
    <t>IF</t>
  </si>
  <si>
    <t>Conditional test</t>
  </si>
  <si>
    <t>IF(A1&gt;50,"Pass","Fail")</t>
  </si>
  <si>
    <t>AND</t>
  </si>
  <si>
    <t>Returns TRUE if all conditions are TRUE</t>
  </si>
  <si>
    <t>AND(A1&gt;50, B1="Yes")</t>
  </si>
  <si>
    <t>OR</t>
  </si>
  <si>
    <t>Returns TRUE if any condition is TRUE</t>
  </si>
  <si>
    <t>OR(A1&gt;50, B1="Yes")</t>
  </si>
  <si>
    <t>NOT</t>
  </si>
  <si>
    <t>Reverses a logical value (TRUE becomes FALSE)</t>
  </si>
  <si>
    <t>NOT(A1&gt;50)</t>
  </si>
  <si>
    <t>4. Text Functions</t>
  </si>
  <si>
    <t>RIGHT</t>
  </si>
  <si>
    <t>Right characters</t>
  </si>
  <si>
    <t>RIGHT(A1,7)</t>
  </si>
  <si>
    <t>LEFT</t>
  </si>
  <si>
    <t>Left characters</t>
  </si>
  <si>
    <t>LEFT(A1,4)</t>
  </si>
  <si>
    <t>MID</t>
  </si>
  <si>
    <t>Middle characters</t>
  </si>
  <si>
    <t>MID(A1,5,3)</t>
  </si>
  <si>
    <t>UPPER</t>
  </si>
  <si>
    <t>Convert to uppercase</t>
  </si>
  <si>
    <t>UPPER("text")</t>
  </si>
  <si>
    <t>LOWER</t>
  </si>
  <si>
    <t>Convert to lowercase</t>
  </si>
  <si>
    <t>LOWER("TEXT")</t>
  </si>
  <si>
    <t>PROPER</t>
  </si>
  <si>
    <t>Capitalize first letters</t>
  </si>
  <si>
    <t>PROPER("text example")</t>
  </si>
  <si>
    <t>LENGTH</t>
  </si>
  <si>
    <t>Length of text</t>
  </si>
  <si>
    <t>LEN(A1)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</si>
</sst>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"/>
    <numFmt numFmtId="181" formatCode="mm/dd/yyyy"/>
  </numFmts>
  <fonts count="32">
    <font>
      <sz val="10"/>
      <color rgb="FF000000"/>
      <name val="Arial"/>
      <charset val="134"/>
      <scheme val="minor"/>
    </font>
    <font>
      <b/>
      <u/>
      <sz val="22"/>
      <color rgb="FF002060"/>
      <name val="Calibri"/>
      <charset val="134"/>
    </font>
    <font>
      <sz val="10"/>
      <color theme="1"/>
      <name val="Arial"/>
      <charset val="134"/>
    </font>
    <font>
      <b/>
      <sz val="16"/>
      <color theme="1"/>
      <name val="Calibri"/>
      <charset val="134"/>
    </font>
    <font>
      <sz val="1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b/>
      <sz val="11"/>
      <color rgb="FFFFFFFF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92D050"/>
        <bgColor rgb="FF92D050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2" fillId="0" borderId="4" xfId="0" applyFont="1" applyBorder="1"/>
    <xf numFmtId="0" fontId="8" fillId="0" borderId="4" xfId="0" applyFont="1" applyBorder="1"/>
    <xf numFmtId="0" fontId="9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80" fontId="2" fillId="5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81" fontId="2" fillId="0" borderId="5" xfId="0" applyNumberFormat="1" applyFont="1" applyBorder="1" applyAlignment="1">
      <alignment horizontal="center"/>
    </xf>
    <xf numFmtId="181" fontId="2" fillId="5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80" fontId="2" fillId="0" borderId="5" xfId="0" applyNumberFormat="1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2"/>
  <sheetViews>
    <sheetView tabSelected="1" topLeftCell="G1" workbookViewId="0">
      <selection activeCell="N2" sqref="N2"/>
    </sheetView>
  </sheetViews>
  <sheetFormatPr defaultColWidth="12.9090909090909" defaultRowHeight="15.75" customHeight="1"/>
  <cols>
    <col min="1" max="1" width="10.2727272727273" customWidth="1"/>
    <col min="2" max="2" width="11" customWidth="1"/>
    <col min="3" max="3" width="8.09090909090909" customWidth="1"/>
    <col min="4" max="4" width="14.9090909090909" customWidth="1"/>
    <col min="5" max="5" width="10.3636363636364" customWidth="1"/>
    <col min="6" max="6" width="11.2727272727273" customWidth="1"/>
    <col min="7" max="7" width="13.9090909090909" customWidth="1"/>
    <col min="8" max="8" width="13.7272727272727" customWidth="1"/>
    <col min="9" max="9" width="19" customWidth="1"/>
    <col min="10" max="10" width="15.6363636363636" customWidth="1"/>
    <col min="11" max="14" width="12.9090909090909" customWidth="1"/>
    <col min="15" max="15" width="18.7272727272727" customWidth="1"/>
    <col min="16" max="16" width="12.9090909090909" customWidth="1"/>
  </cols>
  <sheetData>
    <row r="1" customHeight="1" spans="1:1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customHeight="1" spans="1:16">
      <c r="A2" s="13" t="s">
        <v>13</v>
      </c>
      <c r="B2" s="14">
        <v>45619</v>
      </c>
      <c r="C2" s="13" t="s">
        <v>14</v>
      </c>
      <c r="D2" s="13" t="s">
        <v>15</v>
      </c>
      <c r="E2" s="13" t="s">
        <v>16</v>
      </c>
      <c r="F2" s="13">
        <v>16</v>
      </c>
      <c r="G2" s="13">
        <v>19.99</v>
      </c>
      <c r="H2" s="13">
        <v>5</v>
      </c>
      <c r="I2" s="13">
        <v>303.85</v>
      </c>
      <c r="J2" s="15" t="str">
        <f>IF(G2&gt;=500,"High Price","Standard Price")</f>
        <v>Standard Price</v>
      </c>
      <c r="K2" s="13" t="str">
        <f>LEFT(A2,2)</f>
        <v>OR</v>
      </c>
      <c r="L2" s="13" t="str">
        <f>RIGHT(A2,2)</f>
        <v>01</v>
      </c>
      <c r="M2" s="13" t="str">
        <f>MID(A2,4,3)</f>
        <v>-10</v>
      </c>
    </row>
    <row r="3" customHeight="1" spans="1:16">
      <c r="A3" s="15" t="s">
        <v>17</v>
      </c>
      <c r="B3" s="16">
        <v>45363</v>
      </c>
      <c r="C3" s="15" t="s">
        <v>18</v>
      </c>
      <c r="D3" s="15" t="s">
        <v>19</v>
      </c>
      <c r="E3" s="15" t="s">
        <v>20</v>
      </c>
      <c r="F3" s="15">
        <v>38</v>
      </c>
      <c r="G3" s="15">
        <v>29.99</v>
      </c>
      <c r="H3" s="15">
        <v>15</v>
      </c>
      <c r="I3" s="15">
        <v>968.68</v>
      </c>
      <c r="J3" s="15" t="str">
        <f t="shared" ref="J3:J52" si="0">IF(G3&gt;=500,"High Price","Standard Price")</f>
        <v>Standard Price</v>
      </c>
      <c r="K3" s="13" t="str">
        <f t="shared" ref="K3:K51" si="1">LEFT(A3,2)</f>
        <v>OR</v>
      </c>
      <c r="L3" s="15" t="str">
        <f t="shared" ref="L3:L34" si="2">RIGHT(A3,2)</f>
        <v>02</v>
      </c>
      <c r="M3" s="15" t="str">
        <f t="shared" ref="M3:M52" si="3">MID(A3,4,3)</f>
        <v>-10</v>
      </c>
    </row>
    <row r="4" customHeight="1" spans="1:16">
      <c r="A4" s="13" t="s">
        <v>21</v>
      </c>
      <c r="B4" s="17">
        <v>45308</v>
      </c>
      <c r="C4" s="13" t="s">
        <v>14</v>
      </c>
      <c r="D4" s="13" t="s">
        <v>22</v>
      </c>
      <c r="E4" s="13" t="s">
        <v>23</v>
      </c>
      <c r="F4" s="13">
        <v>15</v>
      </c>
      <c r="G4" s="13">
        <v>49.99</v>
      </c>
      <c r="H4" s="13">
        <v>20</v>
      </c>
      <c r="I4" s="13">
        <v>599.88</v>
      </c>
      <c r="J4" s="15" t="str">
        <f t="shared" si="0"/>
        <v>Standard Price</v>
      </c>
      <c r="K4" s="13" t="str">
        <f t="shared" si="1"/>
        <v>OR</v>
      </c>
      <c r="L4" s="13" t="str">
        <f t="shared" si="2"/>
        <v>03</v>
      </c>
      <c r="M4" s="13" t="str">
        <f t="shared" si="3"/>
        <v>-10</v>
      </c>
    </row>
    <row r="5" customHeight="1" spans="1:16">
      <c r="A5" s="15" t="s">
        <v>24</v>
      </c>
      <c r="B5" s="16">
        <v>45600</v>
      </c>
      <c r="C5" s="15" t="s">
        <v>18</v>
      </c>
      <c r="D5" s="15" t="s">
        <v>22</v>
      </c>
      <c r="E5" s="15" t="s">
        <v>23</v>
      </c>
      <c r="F5" s="15">
        <v>46</v>
      </c>
      <c r="G5" s="15">
        <v>49.99</v>
      </c>
      <c r="H5" s="15">
        <v>20</v>
      </c>
      <c r="I5" s="15">
        <v>1839.63</v>
      </c>
      <c r="J5" s="15" t="str">
        <f t="shared" si="0"/>
        <v>Standard Price</v>
      </c>
      <c r="K5" s="13" t="str">
        <f t="shared" si="1"/>
        <v>OR</v>
      </c>
      <c r="L5" s="15" t="str">
        <f t="shared" si="2"/>
        <v>04</v>
      </c>
      <c r="M5" s="15" t="str">
        <f t="shared" si="3"/>
        <v>-10</v>
      </c>
      <c r="O5" s="18" t="s">
        <v>25</v>
      </c>
      <c r="P5" s="19">
        <f>SUM(G:G)</f>
        <v>10349.5</v>
      </c>
    </row>
    <row r="6" customHeight="1" spans="1:16">
      <c r="A6" s="13" t="s">
        <v>26</v>
      </c>
      <c r="B6" s="17">
        <v>45506</v>
      </c>
      <c r="C6" s="13" t="s">
        <v>27</v>
      </c>
      <c r="D6" s="13" t="s">
        <v>28</v>
      </c>
      <c r="E6" s="13" t="s">
        <v>16</v>
      </c>
      <c r="F6" s="13">
        <v>18</v>
      </c>
      <c r="G6" s="13">
        <v>14.99</v>
      </c>
      <c r="H6" s="13">
        <v>0</v>
      </c>
      <c r="I6" s="13">
        <v>269.82</v>
      </c>
      <c r="J6" s="15" t="str">
        <f t="shared" si="0"/>
        <v>Standard Price</v>
      </c>
      <c r="K6" s="13" t="str">
        <f t="shared" si="1"/>
        <v>OR</v>
      </c>
      <c r="L6" s="13" t="str">
        <f t="shared" si="2"/>
        <v>05</v>
      </c>
      <c r="M6" s="13" t="str">
        <f t="shared" si="3"/>
        <v>-10</v>
      </c>
      <c r="O6" s="20" t="s">
        <v>29</v>
      </c>
      <c r="P6" s="19">
        <f>AVERAGE(G:G)</f>
        <v>206.99</v>
      </c>
    </row>
    <row r="7" customHeight="1" spans="1:16">
      <c r="A7" s="15" t="s">
        <v>30</v>
      </c>
      <c r="B7" s="16">
        <v>45373</v>
      </c>
      <c r="C7" s="15" t="s">
        <v>31</v>
      </c>
      <c r="D7" s="15" t="s">
        <v>15</v>
      </c>
      <c r="E7" s="15" t="s">
        <v>16</v>
      </c>
      <c r="F7" s="15">
        <v>10</v>
      </c>
      <c r="G7" s="15">
        <v>19.99</v>
      </c>
      <c r="H7" s="15">
        <v>5</v>
      </c>
      <c r="I7" s="15">
        <v>189.91</v>
      </c>
      <c r="J7" s="15" t="str">
        <f t="shared" si="0"/>
        <v>Standard Price</v>
      </c>
      <c r="K7" s="13" t="str">
        <f t="shared" si="1"/>
        <v>OR</v>
      </c>
      <c r="L7" s="15" t="str">
        <f t="shared" si="2"/>
        <v>06</v>
      </c>
      <c r="M7" s="15" t="str">
        <f t="shared" si="3"/>
        <v>-10</v>
      </c>
      <c r="O7" s="18" t="s">
        <v>32</v>
      </c>
      <c r="P7" s="19">
        <f>MIN(G:G)</f>
        <v>9.99</v>
      </c>
    </row>
    <row r="8" customHeight="1" spans="1:16">
      <c r="A8" s="13" t="s">
        <v>33</v>
      </c>
      <c r="B8" s="17">
        <v>45464</v>
      </c>
      <c r="C8" s="13" t="s">
        <v>14</v>
      </c>
      <c r="D8" s="13" t="s">
        <v>34</v>
      </c>
      <c r="E8" s="13" t="s">
        <v>20</v>
      </c>
      <c r="F8" s="13">
        <v>7</v>
      </c>
      <c r="G8" s="13">
        <v>499.99</v>
      </c>
      <c r="H8" s="13">
        <v>10</v>
      </c>
      <c r="I8" s="13">
        <v>3149.94</v>
      </c>
      <c r="J8" s="15" t="str">
        <f t="shared" si="0"/>
        <v>Standard Price</v>
      </c>
      <c r="K8" s="13" t="str">
        <f t="shared" si="1"/>
        <v>OR</v>
      </c>
      <c r="L8" s="13" t="str">
        <f t="shared" si="2"/>
        <v>07</v>
      </c>
      <c r="M8" s="13" t="str">
        <f t="shared" si="3"/>
        <v>-10</v>
      </c>
      <c r="O8" s="20" t="s">
        <v>35</v>
      </c>
      <c r="P8" s="19">
        <f>MAX(G:G)</f>
        <v>1299.99</v>
      </c>
    </row>
    <row r="9" customHeight="1" spans="1:16">
      <c r="A9" s="15" t="s">
        <v>36</v>
      </c>
      <c r="B9" s="16">
        <v>45468</v>
      </c>
      <c r="C9" s="15" t="s">
        <v>31</v>
      </c>
      <c r="D9" s="15" t="s">
        <v>37</v>
      </c>
      <c r="E9" s="15" t="s">
        <v>20</v>
      </c>
      <c r="F9" s="15">
        <v>47</v>
      </c>
      <c r="G9" s="15">
        <v>1299.99</v>
      </c>
      <c r="H9" s="15">
        <v>15</v>
      </c>
      <c r="I9" s="15">
        <v>51934.6</v>
      </c>
      <c r="J9" s="15" t="str">
        <f t="shared" si="0"/>
        <v>High Price</v>
      </c>
      <c r="K9" s="13" t="str">
        <f t="shared" si="1"/>
        <v>OR</v>
      </c>
      <c r="L9" s="15" t="str">
        <f t="shared" si="2"/>
        <v>08</v>
      </c>
      <c r="M9" s="15" t="str">
        <f t="shared" si="3"/>
        <v>-10</v>
      </c>
      <c r="O9" s="18" t="s">
        <v>38</v>
      </c>
      <c r="P9" s="19">
        <f>SUMIF(E:E,"Electronics",G:G)</f>
        <v>7179.81</v>
      </c>
    </row>
    <row r="10" customHeight="1" spans="1:16">
      <c r="A10" s="13" t="s">
        <v>39</v>
      </c>
      <c r="B10" s="17">
        <v>45566</v>
      </c>
      <c r="C10" s="13" t="s">
        <v>27</v>
      </c>
      <c r="D10" s="13" t="s">
        <v>19</v>
      </c>
      <c r="E10" s="13" t="s">
        <v>20</v>
      </c>
      <c r="F10" s="21">
        <v>47</v>
      </c>
      <c r="G10" s="13">
        <v>29.99</v>
      </c>
      <c r="H10" s="13">
        <v>10</v>
      </c>
      <c r="I10" s="13">
        <v>1268.58</v>
      </c>
      <c r="J10" s="15" t="str">
        <f t="shared" si="0"/>
        <v>Standard Price</v>
      </c>
      <c r="K10" s="13" t="str">
        <f t="shared" si="1"/>
        <v>OR</v>
      </c>
      <c r="L10" s="13" t="str">
        <f t="shared" si="2"/>
        <v>09</v>
      </c>
      <c r="M10" s="13" t="str">
        <f t="shared" si="3"/>
        <v>-10</v>
      </c>
      <c r="O10" s="20" t="s">
        <v>40</v>
      </c>
      <c r="P10" s="19">
        <f>COUNTIF(G:G,"&lt;100")</f>
        <v>34</v>
      </c>
    </row>
    <row r="11" customHeight="1" spans="1:16">
      <c r="A11" s="13" t="s">
        <v>41</v>
      </c>
      <c r="B11" s="22">
        <v>45613</v>
      </c>
      <c r="C11" s="15" t="s">
        <v>31</v>
      </c>
      <c r="D11" s="15" t="s">
        <v>28</v>
      </c>
      <c r="E11" s="15" t="s">
        <v>16</v>
      </c>
      <c r="F11" s="15">
        <v>13</v>
      </c>
      <c r="G11" s="15">
        <v>14.99</v>
      </c>
      <c r="H11" s="15">
        <v>0</v>
      </c>
      <c r="I11" s="15">
        <v>194.87</v>
      </c>
      <c r="J11" s="15" t="str">
        <f t="shared" si="0"/>
        <v>Standard Price</v>
      </c>
      <c r="K11" s="13" t="str">
        <f t="shared" si="1"/>
        <v>OR</v>
      </c>
      <c r="L11" s="15" t="str">
        <f t="shared" si="2"/>
        <v>10</v>
      </c>
      <c r="M11" s="15" t="str">
        <f t="shared" si="3"/>
        <v>-10</v>
      </c>
    </row>
    <row r="12" customHeight="1" spans="1:16">
      <c r="A12" s="13" t="s">
        <v>42</v>
      </c>
      <c r="B12" s="17">
        <v>45315</v>
      </c>
      <c r="C12" s="13" t="s">
        <v>31</v>
      </c>
      <c r="D12" s="13" t="s">
        <v>19</v>
      </c>
      <c r="E12" s="13" t="s">
        <v>20</v>
      </c>
      <c r="F12" s="13">
        <v>15</v>
      </c>
      <c r="G12" s="13">
        <v>29.99</v>
      </c>
      <c r="H12" s="13">
        <v>0</v>
      </c>
      <c r="I12" s="13">
        <v>449.85</v>
      </c>
      <c r="J12" s="15" t="str">
        <f t="shared" si="0"/>
        <v>Standard Price</v>
      </c>
      <c r="K12" s="13" t="str">
        <f t="shared" si="1"/>
        <v>OR</v>
      </c>
      <c r="L12" s="13" t="str">
        <f t="shared" si="2"/>
        <v>11</v>
      </c>
      <c r="M12" s="13" t="str">
        <f t="shared" si="3"/>
        <v>-10</v>
      </c>
    </row>
    <row r="13" customHeight="1" spans="1:16">
      <c r="A13" s="15" t="s">
        <v>43</v>
      </c>
      <c r="B13" s="16">
        <v>45486</v>
      </c>
      <c r="C13" s="15" t="s">
        <v>27</v>
      </c>
      <c r="D13" s="15" t="s">
        <v>44</v>
      </c>
      <c r="E13" s="15" t="s">
        <v>16</v>
      </c>
      <c r="F13" s="13">
        <v>15</v>
      </c>
      <c r="G13" s="15">
        <v>9.99</v>
      </c>
      <c r="H13" s="15">
        <v>10</v>
      </c>
      <c r="I13" s="15">
        <v>134.87</v>
      </c>
      <c r="J13" s="15" t="str">
        <f t="shared" si="0"/>
        <v>Standard Price</v>
      </c>
      <c r="K13" s="13" t="str">
        <f t="shared" si="1"/>
        <v>OR</v>
      </c>
      <c r="L13" s="15" t="str">
        <f t="shared" si="2"/>
        <v>12</v>
      </c>
      <c r="M13" s="15" t="str">
        <f t="shared" si="3"/>
        <v>-10</v>
      </c>
    </row>
    <row r="14" customHeight="1" spans="1:16">
      <c r="A14" s="13" t="s">
        <v>45</v>
      </c>
      <c r="B14" s="17">
        <v>45473</v>
      </c>
      <c r="C14" s="13" t="s">
        <v>31</v>
      </c>
      <c r="D14" s="13" t="s">
        <v>19</v>
      </c>
      <c r="E14" s="13" t="s">
        <v>20</v>
      </c>
      <c r="F14" s="13">
        <v>39</v>
      </c>
      <c r="G14" s="13">
        <v>29.99</v>
      </c>
      <c r="H14" s="13">
        <v>5</v>
      </c>
      <c r="I14" s="13">
        <v>1111.13</v>
      </c>
      <c r="J14" s="15" t="str">
        <f t="shared" si="0"/>
        <v>Standard Price</v>
      </c>
      <c r="K14" s="13" t="str">
        <f t="shared" si="1"/>
        <v>OR</v>
      </c>
      <c r="L14" s="13" t="str">
        <f t="shared" si="2"/>
        <v>13</v>
      </c>
      <c r="M14" s="13" t="str">
        <f t="shared" si="3"/>
        <v>-10</v>
      </c>
    </row>
    <row r="15" customHeight="1" spans="1:16">
      <c r="A15" s="15" t="s">
        <v>46</v>
      </c>
      <c r="B15" s="16">
        <v>45565</v>
      </c>
      <c r="C15" s="15" t="s">
        <v>47</v>
      </c>
      <c r="D15" s="15" t="s">
        <v>48</v>
      </c>
      <c r="E15" s="15" t="s">
        <v>20</v>
      </c>
      <c r="F15" s="15">
        <v>25</v>
      </c>
      <c r="G15" s="15">
        <v>89.99</v>
      </c>
      <c r="H15" s="15">
        <v>10</v>
      </c>
      <c r="I15" s="15">
        <v>2024.78</v>
      </c>
      <c r="J15" s="15" t="str">
        <f t="shared" si="0"/>
        <v>Standard Price</v>
      </c>
      <c r="K15" s="13" t="str">
        <f t="shared" si="1"/>
        <v>OR</v>
      </c>
      <c r="L15" s="15" t="str">
        <f t="shared" si="2"/>
        <v>14</v>
      </c>
      <c r="M15" s="15" t="str">
        <f t="shared" si="3"/>
        <v>-10</v>
      </c>
    </row>
    <row r="16" customHeight="1" spans="1:16">
      <c r="A16" s="13" t="s">
        <v>49</v>
      </c>
      <c r="B16" s="14">
        <v>45619</v>
      </c>
      <c r="C16" s="13" t="s">
        <v>47</v>
      </c>
      <c r="D16" s="13" t="s">
        <v>44</v>
      </c>
      <c r="E16" s="13" t="s">
        <v>16</v>
      </c>
      <c r="F16" s="13">
        <v>50</v>
      </c>
      <c r="G16" s="13">
        <v>9.99</v>
      </c>
      <c r="H16" s="13">
        <v>0</v>
      </c>
      <c r="I16" s="13">
        <v>499.5</v>
      </c>
      <c r="J16" s="15" t="str">
        <f t="shared" si="0"/>
        <v>Standard Price</v>
      </c>
      <c r="K16" s="13" t="str">
        <f t="shared" si="1"/>
        <v>OR</v>
      </c>
      <c r="L16" s="13" t="str">
        <f t="shared" si="2"/>
        <v>15</v>
      </c>
      <c r="M16" s="13" t="str">
        <f t="shared" si="3"/>
        <v>-10</v>
      </c>
    </row>
    <row r="17" customHeight="1" spans="1:15">
      <c r="A17" s="15" t="s">
        <v>50</v>
      </c>
      <c r="B17" s="16">
        <v>45409</v>
      </c>
      <c r="C17" s="15" t="s">
        <v>31</v>
      </c>
      <c r="D17" s="15" t="s">
        <v>34</v>
      </c>
      <c r="E17" s="15" t="s">
        <v>20</v>
      </c>
      <c r="F17" s="15">
        <v>18</v>
      </c>
      <c r="G17" s="15">
        <v>499.99</v>
      </c>
      <c r="H17" s="15">
        <v>0</v>
      </c>
      <c r="I17" s="15">
        <v>8999.82</v>
      </c>
      <c r="J17" s="15" t="str">
        <f t="shared" si="0"/>
        <v>Standard Price</v>
      </c>
      <c r="K17" s="13" t="str">
        <f t="shared" si="1"/>
        <v>OR</v>
      </c>
      <c r="L17" s="15" t="str">
        <f t="shared" si="2"/>
        <v>16</v>
      </c>
      <c r="M17" s="15" t="str">
        <f t="shared" si="3"/>
        <v>-10</v>
      </c>
    </row>
    <row r="18" customHeight="1" spans="1:15">
      <c r="A18" s="13" t="s">
        <v>51</v>
      </c>
      <c r="B18" s="17">
        <v>45400</v>
      </c>
      <c r="C18" s="13" t="s">
        <v>31</v>
      </c>
      <c r="D18" s="13" t="s">
        <v>22</v>
      </c>
      <c r="E18" s="13" t="s">
        <v>23</v>
      </c>
      <c r="F18" s="13">
        <v>42</v>
      </c>
      <c r="G18" s="13">
        <v>49.99</v>
      </c>
      <c r="H18" s="13">
        <v>15</v>
      </c>
      <c r="I18" s="13">
        <v>1784.64</v>
      </c>
      <c r="J18" s="15" t="str">
        <f t="shared" si="0"/>
        <v>Standard Price</v>
      </c>
      <c r="K18" s="13" t="str">
        <f t="shared" si="1"/>
        <v>OR</v>
      </c>
      <c r="L18" s="13" t="str">
        <f t="shared" si="2"/>
        <v>17</v>
      </c>
      <c r="M18" s="13" t="str">
        <f t="shared" si="3"/>
        <v>-10</v>
      </c>
    </row>
    <row r="19" customHeight="1" spans="1:15">
      <c r="A19" s="15" t="s">
        <v>52</v>
      </c>
      <c r="B19" s="16">
        <v>45494</v>
      </c>
      <c r="C19" s="15" t="s">
        <v>47</v>
      </c>
      <c r="D19" s="15" t="s">
        <v>15</v>
      </c>
      <c r="E19" s="15" t="s">
        <v>16</v>
      </c>
      <c r="F19" s="15">
        <v>20</v>
      </c>
      <c r="G19" s="15">
        <v>19.99</v>
      </c>
      <c r="H19" s="15">
        <v>5</v>
      </c>
      <c r="I19" s="15">
        <v>379.81</v>
      </c>
      <c r="J19" s="15" t="str">
        <f t="shared" si="0"/>
        <v>Standard Price</v>
      </c>
      <c r="K19" s="13" t="str">
        <f t="shared" si="1"/>
        <v>OR</v>
      </c>
      <c r="L19" s="15" t="str">
        <f t="shared" si="2"/>
        <v>18</v>
      </c>
      <c r="M19" s="15" t="str">
        <f t="shared" si="3"/>
        <v>-10</v>
      </c>
      <c r="O19" s="23"/>
    </row>
    <row r="20" customHeight="1" spans="1:15">
      <c r="A20" s="13" t="s">
        <v>53</v>
      </c>
      <c r="B20" s="14">
        <v>45579</v>
      </c>
      <c r="C20" s="13" t="s">
        <v>31</v>
      </c>
      <c r="D20" s="13" t="s">
        <v>28</v>
      </c>
      <c r="E20" s="13" t="s">
        <v>16</v>
      </c>
      <c r="F20" s="13">
        <v>28</v>
      </c>
      <c r="G20" s="13">
        <v>14.99</v>
      </c>
      <c r="H20" s="13">
        <v>20</v>
      </c>
      <c r="I20" s="13">
        <v>335.78</v>
      </c>
      <c r="J20" s="15" t="str">
        <f t="shared" si="0"/>
        <v>Standard Price</v>
      </c>
      <c r="K20" s="13" t="str">
        <f t="shared" si="1"/>
        <v>OR</v>
      </c>
      <c r="L20" s="13" t="str">
        <f t="shared" si="2"/>
        <v>19</v>
      </c>
      <c r="M20" s="13" t="str">
        <f t="shared" si="3"/>
        <v>-10</v>
      </c>
    </row>
    <row r="21" customHeight="1" spans="1:15">
      <c r="A21" s="15" t="s">
        <v>54</v>
      </c>
      <c r="B21" s="16">
        <v>45496</v>
      </c>
      <c r="C21" s="15" t="s">
        <v>47</v>
      </c>
      <c r="D21" s="15" t="s">
        <v>55</v>
      </c>
      <c r="E21" s="15" t="s">
        <v>23</v>
      </c>
      <c r="F21" s="15">
        <v>33</v>
      </c>
      <c r="G21" s="15">
        <v>349.99</v>
      </c>
      <c r="H21" s="15">
        <v>15</v>
      </c>
      <c r="I21" s="15">
        <v>9817.22</v>
      </c>
      <c r="J21" s="15" t="str">
        <f t="shared" si="0"/>
        <v>Standard Price</v>
      </c>
      <c r="K21" s="13" t="str">
        <f t="shared" si="1"/>
        <v>OR</v>
      </c>
      <c r="L21" s="15" t="str">
        <f t="shared" si="2"/>
        <v>20</v>
      </c>
      <c r="M21" s="15" t="str">
        <f t="shared" si="3"/>
        <v>-10</v>
      </c>
    </row>
    <row r="22" customHeight="1" spans="1:15">
      <c r="A22" s="13" t="s">
        <v>56</v>
      </c>
      <c r="B22" s="17">
        <v>45338</v>
      </c>
      <c r="C22" s="13" t="s">
        <v>14</v>
      </c>
      <c r="D22" s="13" t="s">
        <v>55</v>
      </c>
      <c r="E22" s="13" t="s">
        <v>23</v>
      </c>
      <c r="F22" s="13">
        <v>41</v>
      </c>
      <c r="G22" s="13">
        <v>349.99</v>
      </c>
      <c r="H22" s="13">
        <v>5</v>
      </c>
      <c r="I22" s="13">
        <v>13632.11</v>
      </c>
      <c r="J22" s="15" t="str">
        <f t="shared" si="0"/>
        <v>Standard Price</v>
      </c>
      <c r="K22" s="13" t="str">
        <f t="shared" si="1"/>
        <v>OR</v>
      </c>
      <c r="L22" s="13" t="str">
        <f t="shared" si="2"/>
        <v>21</v>
      </c>
      <c r="M22" s="13" t="str">
        <f t="shared" si="3"/>
        <v>-10</v>
      </c>
    </row>
    <row r="23" customHeight="1" spans="1:15">
      <c r="A23" s="15" t="s">
        <v>57</v>
      </c>
      <c r="B23" s="22">
        <v>45640</v>
      </c>
      <c r="C23" s="15" t="s">
        <v>18</v>
      </c>
      <c r="D23" s="15" t="s">
        <v>19</v>
      </c>
      <c r="E23" s="15" t="s">
        <v>20</v>
      </c>
      <c r="F23" s="15">
        <v>25</v>
      </c>
      <c r="G23" s="15">
        <v>29.99</v>
      </c>
      <c r="H23" s="15">
        <v>15</v>
      </c>
      <c r="I23" s="15">
        <v>637.29</v>
      </c>
      <c r="J23" s="15" t="str">
        <f t="shared" si="0"/>
        <v>Standard Price</v>
      </c>
      <c r="K23" s="13" t="str">
        <f t="shared" si="1"/>
        <v>OR</v>
      </c>
      <c r="L23" s="15" t="str">
        <f t="shared" si="2"/>
        <v>22</v>
      </c>
      <c r="M23" s="15" t="str">
        <f t="shared" si="3"/>
        <v>-10</v>
      </c>
    </row>
    <row r="24" customHeight="1" spans="1:15">
      <c r="A24" s="13" t="s">
        <v>58</v>
      </c>
      <c r="B24" s="17">
        <v>45597</v>
      </c>
      <c r="C24" s="13" t="s">
        <v>18</v>
      </c>
      <c r="D24" s="13" t="s">
        <v>15</v>
      </c>
      <c r="E24" s="13" t="s">
        <v>16</v>
      </c>
      <c r="F24" s="13">
        <v>36</v>
      </c>
      <c r="G24" s="13">
        <v>19.99</v>
      </c>
      <c r="H24" s="13">
        <v>0</v>
      </c>
      <c r="I24" s="13">
        <v>719.64</v>
      </c>
      <c r="J24" s="15" t="str">
        <f t="shared" si="0"/>
        <v>Standard Price</v>
      </c>
      <c r="K24" s="13" t="str">
        <f t="shared" si="1"/>
        <v>OR</v>
      </c>
      <c r="L24" s="13" t="str">
        <f t="shared" si="2"/>
        <v>23</v>
      </c>
      <c r="M24" s="13" t="str">
        <f t="shared" si="3"/>
        <v>-10</v>
      </c>
    </row>
    <row r="25" customHeight="1" spans="1:15">
      <c r="A25" s="15" t="s">
        <v>59</v>
      </c>
      <c r="B25" s="22">
        <v>45640</v>
      </c>
      <c r="C25" s="15" t="s">
        <v>18</v>
      </c>
      <c r="D25" s="15" t="s">
        <v>15</v>
      </c>
      <c r="E25" s="15" t="s">
        <v>16</v>
      </c>
      <c r="F25" s="15">
        <v>50</v>
      </c>
      <c r="G25" s="15">
        <v>19.99</v>
      </c>
      <c r="H25" s="15">
        <v>10</v>
      </c>
      <c r="I25" s="15">
        <v>899.55</v>
      </c>
      <c r="J25" s="15" t="str">
        <f t="shared" si="0"/>
        <v>Standard Price</v>
      </c>
      <c r="K25" s="13" t="str">
        <f t="shared" si="1"/>
        <v>OR</v>
      </c>
      <c r="L25" s="15" t="str">
        <f t="shared" si="2"/>
        <v>24</v>
      </c>
      <c r="M25" s="15" t="str">
        <f t="shared" si="3"/>
        <v>-10</v>
      </c>
    </row>
    <row r="26" customHeight="1" spans="1:15">
      <c r="A26" s="13" t="s">
        <v>60</v>
      </c>
      <c r="B26" s="17">
        <v>45349</v>
      </c>
      <c r="C26" s="13" t="s">
        <v>27</v>
      </c>
      <c r="D26" s="13" t="s">
        <v>55</v>
      </c>
      <c r="E26" s="13" t="s">
        <v>23</v>
      </c>
      <c r="F26" s="13">
        <v>30</v>
      </c>
      <c r="G26" s="13">
        <v>349.99</v>
      </c>
      <c r="H26" s="13">
        <v>0</v>
      </c>
      <c r="I26" s="13">
        <v>10499.7</v>
      </c>
      <c r="J26" s="15" t="str">
        <f t="shared" si="0"/>
        <v>Standard Price</v>
      </c>
      <c r="K26" s="13" t="str">
        <f t="shared" si="1"/>
        <v>OR</v>
      </c>
      <c r="L26" s="13" t="str">
        <f t="shared" si="2"/>
        <v>25</v>
      </c>
      <c r="M26" s="13" t="str">
        <f t="shared" si="3"/>
        <v>-10</v>
      </c>
    </row>
    <row r="27" customHeight="1" spans="1:15">
      <c r="A27" s="15" t="s">
        <v>61</v>
      </c>
      <c r="B27" s="16">
        <v>45426</v>
      </c>
      <c r="C27" s="15" t="s">
        <v>47</v>
      </c>
      <c r="D27" s="15" t="s">
        <v>62</v>
      </c>
      <c r="E27" s="15" t="s">
        <v>23</v>
      </c>
      <c r="F27" s="15">
        <v>22</v>
      </c>
      <c r="G27" s="15">
        <v>199.99</v>
      </c>
      <c r="H27" s="15">
        <v>10</v>
      </c>
      <c r="I27" s="15">
        <v>3959.8</v>
      </c>
      <c r="J27" s="15" t="str">
        <f t="shared" si="0"/>
        <v>Standard Price</v>
      </c>
      <c r="K27" s="13" t="str">
        <f t="shared" si="1"/>
        <v>OR</v>
      </c>
      <c r="L27" s="15" t="str">
        <f t="shared" si="2"/>
        <v>26</v>
      </c>
      <c r="M27" s="15" t="str">
        <f t="shared" si="3"/>
        <v>-10</v>
      </c>
    </row>
    <row r="28" customHeight="1" spans="1:15">
      <c r="A28" s="13" t="s">
        <v>63</v>
      </c>
      <c r="B28" s="14">
        <v>45619</v>
      </c>
      <c r="C28" s="13" t="s">
        <v>18</v>
      </c>
      <c r="D28" s="13" t="s">
        <v>22</v>
      </c>
      <c r="E28" s="13" t="s">
        <v>23</v>
      </c>
      <c r="F28" s="13">
        <v>10</v>
      </c>
      <c r="G28" s="13">
        <v>49.99</v>
      </c>
      <c r="H28" s="13">
        <v>10</v>
      </c>
      <c r="I28" s="13">
        <v>449.91</v>
      </c>
      <c r="J28" s="15" t="str">
        <f t="shared" si="0"/>
        <v>Standard Price</v>
      </c>
      <c r="K28" s="13" t="str">
        <f t="shared" si="1"/>
        <v>OR</v>
      </c>
      <c r="L28" s="13" t="str">
        <f t="shared" si="2"/>
        <v>27</v>
      </c>
      <c r="M28" s="13" t="str">
        <f t="shared" si="3"/>
        <v>-10</v>
      </c>
    </row>
    <row r="29" customHeight="1" spans="1:15">
      <c r="A29" s="15" t="s">
        <v>64</v>
      </c>
      <c r="B29" s="16">
        <v>45374</v>
      </c>
      <c r="C29" s="15" t="s">
        <v>18</v>
      </c>
      <c r="D29" s="15" t="s">
        <v>37</v>
      </c>
      <c r="E29" s="15" t="s">
        <v>20</v>
      </c>
      <c r="F29" s="15">
        <v>39</v>
      </c>
      <c r="G29" s="15">
        <v>1299.99</v>
      </c>
      <c r="H29" s="15">
        <v>10</v>
      </c>
      <c r="I29" s="15">
        <v>45629.65</v>
      </c>
      <c r="J29" s="15" t="str">
        <f t="shared" si="0"/>
        <v>High Price</v>
      </c>
      <c r="K29" s="13" t="str">
        <f t="shared" si="1"/>
        <v>OR</v>
      </c>
      <c r="L29" s="15" t="str">
        <f t="shared" si="2"/>
        <v>28</v>
      </c>
      <c r="M29" s="15" t="str">
        <f t="shared" si="3"/>
        <v>-10</v>
      </c>
    </row>
    <row r="30" customHeight="1" spans="1:15">
      <c r="A30" s="13" t="s">
        <v>65</v>
      </c>
      <c r="B30" s="17">
        <v>45542</v>
      </c>
      <c r="C30" s="13" t="s">
        <v>14</v>
      </c>
      <c r="D30" s="13" t="s">
        <v>44</v>
      </c>
      <c r="E30" s="13" t="s">
        <v>16</v>
      </c>
      <c r="F30" s="13">
        <v>20</v>
      </c>
      <c r="G30" s="13">
        <v>9.99</v>
      </c>
      <c r="H30" s="13">
        <v>5</v>
      </c>
      <c r="I30" s="13">
        <v>189.81</v>
      </c>
      <c r="J30" s="15" t="str">
        <f t="shared" si="0"/>
        <v>Standard Price</v>
      </c>
      <c r="K30" s="13" t="str">
        <f t="shared" si="1"/>
        <v>OR</v>
      </c>
      <c r="L30" s="13" t="str">
        <f t="shared" si="2"/>
        <v>29</v>
      </c>
      <c r="M30" s="13" t="str">
        <f t="shared" si="3"/>
        <v>-10</v>
      </c>
    </row>
    <row r="31" customHeight="1" spans="1:15">
      <c r="A31" s="15" t="s">
        <v>66</v>
      </c>
      <c r="B31" s="16">
        <v>45321</v>
      </c>
      <c r="C31" s="15" t="s">
        <v>18</v>
      </c>
      <c r="D31" s="15" t="s">
        <v>19</v>
      </c>
      <c r="E31" s="15" t="s">
        <v>20</v>
      </c>
      <c r="F31" s="15">
        <v>34</v>
      </c>
      <c r="G31" s="15">
        <v>29.99</v>
      </c>
      <c r="H31" s="15">
        <v>15</v>
      </c>
      <c r="I31" s="15">
        <v>866.71</v>
      </c>
      <c r="J31" s="15" t="str">
        <f t="shared" si="0"/>
        <v>Standard Price</v>
      </c>
      <c r="K31" s="13" t="str">
        <f t="shared" si="1"/>
        <v>OR</v>
      </c>
      <c r="L31" s="15" t="str">
        <f t="shared" si="2"/>
        <v>30</v>
      </c>
      <c r="M31" s="15" t="str">
        <f t="shared" si="3"/>
        <v>-10</v>
      </c>
    </row>
    <row r="32" customHeight="1" spans="1:15">
      <c r="A32" s="13" t="s">
        <v>67</v>
      </c>
      <c r="B32" s="17">
        <v>45327</v>
      </c>
      <c r="C32" s="13" t="s">
        <v>47</v>
      </c>
      <c r="D32" s="13" t="s">
        <v>55</v>
      </c>
      <c r="E32" s="13" t="s">
        <v>23</v>
      </c>
      <c r="F32" s="13">
        <v>43</v>
      </c>
      <c r="G32" s="13">
        <v>349.99</v>
      </c>
      <c r="H32" s="13">
        <v>15</v>
      </c>
      <c r="I32" s="13">
        <v>12792.13</v>
      </c>
      <c r="J32" s="15" t="str">
        <f t="shared" si="0"/>
        <v>Standard Price</v>
      </c>
      <c r="K32" s="13" t="str">
        <f t="shared" si="1"/>
        <v>OR</v>
      </c>
      <c r="L32" s="13" t="str">
        <f t="shared" si="2"/>
        <v>31</v>
      </c>
      <c r="M32" s="13" t="str">
        <f t="shared" si="3"/>
        <v>-10</v>
      </c>
    </row>
    <row r="33" customHeight="1" spans="1:13">
      <c r="A33" s="15" t="s">
        <v>68</v>
      </c>
      <c r="B33" s="16">
        <v>45573</v>
      </c>
      <c r="C33" s="15" t="s">
        <v>31</v>
      </c>
      <c r="D33" s="15" t="s">
        <v>62</v>
      </c>
      <c r="E33" s="15" t="s">
        <v>23</v>
      </c>
      <c r="F33" s="15">
        <v>39</v>
      </c>
      <c r="G33" s="15">
        <v>199.99</v>
      </c>
      <c r="H33" s="15">
        <v>15</v>
      </c>
      <c r="I33" s="15">
        <v>6629.67</v>
      </c>
      <c r="J33" s="15" t="str">
        <f t="shared" si="0"/>
        <v>Standard Price</v>
      </c>
      <c r="K33" s="13" t="str">
        <f t="shared" si="1"/>
        <v>OR</v>
      </c>
      <c r="L33" s="15" t="str">
        <f t="shared" si="2"/>
        <v>32</v>
      </c>
      <c r="M33" s="15" t="str">
        <f t="shared" si="3"/>
        <v>-10</v>
      </c>
    </row>
    <row r="34" customHeight="1" spans="1:13">
      <c r="A34" s="13" t="s">
        <v>69</v>
      </c>
      <c r="B34" s="17">
        <v>45400</v>
      </c>
      <c r="C34" s="13" t="s">
        <v>47</v>
      </c>
      <c r="D34" s="13" t="s">
        <v>15</v>
      </c>
      <c r="E34" s="13" t="s">
        <v>16</v>
      </c>
      <c r="F34" s="13">
        <v>11</v>
      </c>
      <c r="G34" s="13">
        <v>19.99</v>
      </c>
      <c r="H34" s="13">
        <v>10</v>
      </c>
      <c r="I34" s="13">
        <v>197.9</v>
      </c>
      <c r="J34" s="15" t="str">
        <f t="shared" si="0"/>
        <v>Standard Price</v>
      </c>
      <c r="K34" s="13" t="str">
        <f t="shared" si="1"/>
        <v>OR</v>
      </c>
      <c r="L34" s="13" t="str">
        <f t="shared" si="2"/>
        <v>33</v>
      </c>
      <c r="M34" s="13" t="str">
        <f t="shared" si="3"/>
        <v>-10</v>
      </c>
    </row>
    <row r="35" customHeight="1" spans="1:13">
      <c r="A35" s="15" t="s">
        <v>70</v>
      </c>
      <c r="B35" s="16">
        <v>45516</v>
      </c>
      <c r="C35" s="15" t="s">
        <v>27</v>
      </c>
      <c r="D35" s="15" t="s">
        <v>19</v>
      </c>
      <c r="E35" s="15" t="s">
        <v>20</v>
      </c>
      <c r="F35" s="15">
        <v>16</v>
      </c>
      <c r="G35" s="15">
        <v>29.99</v>
      </c>
      <c r="H35" s="15">
        <v>5</v>
      </c>
      <c r="I35" s="15">
        <v>455.85</v>
      </c>
      <c r="J35" s="15" t="str">
        <f t="shared" si="0"/>
        <v>Standard Price</v>
      </c>
      <c r="K35" s="13" t="str">
        <f t="shared" si="1"/>
        <v>OR</v>
      </c>
      <c r="L35" s="15" t="str">
        <f t="shared" ref="L35:L51" si="4">RIGHT(A35,2)</f>
        <v>34</v>
      </c>
      <c r="M35" s="15" t="str">
        <f t="shared" si="3"/>
        <v>-10</v>
      </c>
    </row>
    <row r="36" customHeight="1" spans="1:13">
      <c r="A36" s="13" t="s">
        <v>71</v>
      </c>
      <c r="B36" s="17">
        <v>45324</v>
      </c>
      <c r="C36" s="13" t="s">
        <v>14</v>
      </c>
      <c r="D36" s="13" t="s">
        <v>28</v>
      </c>
      <c r="E36" s="13" t="s">
        <v>16</v>
      </c>
      <c r="F36" s="13">
        <v>36</v>
      </c>
      <c r="G36" s="13">
        <v>14.99</v>
      </c>
      <c r="H36" s="13">
        <v>5</v>
      </c>
      <c r="I36" s="13">
        <v>512.66</v>
      </c>
      <c r="J36" s="15" t="str">
        <f t="shared" si="0"/>
        <v>Standard Price</v>
      </c>
      <c r="K36" s="13" t="str">
        <f t="shared" si="1"/>
        <v>OR</v>
      </c>
      <c r="L36" s="13" t="str">
        <f t="shared" si="4"/>
        <v>35</v>
      </c>
      <c r="M36" s="13" t="str">
        <f t="shared" si="3"/>
        <v>-10</v>
      </c>
    </row>
    <row r="37" customHeight="1" spans="1:13">
      <c r="A37" s="15" t="s">
        <v>72</v>
      </c>
      <c r="B37" s="22">
        <v>45593</v>
      </c>
      <c r="C37" s="15" t="s">
        <v>14</v>
      </c>
      <c r="D37" s="15" t="s">
        <v>19</v>
      </c>
      <c r="E37" s="15" t="s">
        <v>20</v>
      </c>
      <c r="F37" s="15">
        <v>46</v>
      </c>
      <c r="G37" s="15">
        <v>29.99</v>
      </c>
      <c r="H37" s="15">
        <v>0</v>
      </c>
      <c r="I37" s="15">
        <v>1379.54</v>
      </c>
      <c r="J37" s="15" t="str">
        <f t="shared" si="0"/>
        <v>Standard Price</v>
      </c>
      <c r="K37" s="13" t="str">
        <f t="shared" si="1"/>
        <v>OR</v>
      </c>
      <c r="L37" s="15" t="str">
        <f t="shared" si="4"/>
        <v>36</v>
      </c>
      <c r="M37" s="15" t="str">
        <f t="shared" si="3"/>
        <v>-10</v>
      </c>
    </row>
    <row r="38" customHeight="1" spans="1:13">
      <c r="A38" s="13" t="s">
        <v>73</v>
      </c>
      <c r="B38" s="17">
        <v>45409</v>
      </c>
      <c r="C38" s="13" t="s">
        <v>14</v>
      </c>
      <c r="D38" s="13" t="s">
        <v>44</v>
      </c>
      <c r="E38" s="13" t="s">
        <v>16</v>
      </c>
      <c r="F38" s="13">
        <v>5</v>
      </c>
      <c r="G38" s="13">
        <v>9.99</v>
      </c>
      <c r="H38" s="13">
        <v>20</v>
      </c>
      <c r="I38" s="13">
        <v>39.96</v>
      </c>
      <c r="J38" s="15" t="str">
        <f t="shared" si="0"/>
        <v>Standard Price</v>
      </c>
      <c r="K38" s="13" t="str">
        <f t="shared" si="1"/>
        <v>OR</v>
      </c>
      <c r="L38" s="13" t="str">
        <f t="shared" si="4"/>
        <v>37</v>
      </c>
      <c r="M38" s="13" t="str">
        <f t="shared" si="3"/>
        <v>-10</v>
      </c>
    </row>
    <row r="39" customHeight="1" spans="1:13">
      <c r="A39" s="15" t="s">
        <v>74</v>
      </c>
      <c r="B39" s="16">
        <v>45413</v>
      </c>
      <c r="C39" s="15" t="s">
        <v>27</v>
      </c>
      <c r="D39" s="15" t="s">
        <v>22</v>
      </c>
      <c r="E39" s="15" t="s">
        <v>23</v>
      </c>
      <c r="F39" s="15">
        <v>35</v>
      </c>
      <c r="G39" s="15">
        <v>49.99</v>
      </c>
      <c r="H39" s="15">
        <v>5</v>
      </c>
      <c r="I39" s="15">
        <v>1662.17</v>
      </c>
      <c r="J39" s="15" t="str">
        <f t="shared" si="0"/>
        <v>Standard Price</v>
      </c>
      <c r="K39" s="13" t="str">
        <f t="shared" si="1"/>
        <v>OR</v>
      </c>
      <c r="L39" s="15" t="str">
        <f t="shared" si="4"/>
        <v>38</v>
      </c>
      <c r="M39" s="15" t="str">
        <f t="shared" si="3"/>
        <v>-10</v>
      </c>
    </row>
    <row r="40" customHeight="1" spans="1:13">
      <c r="A40" s="13" t="s">
        <v>75</v>
      </c>
      <c r="B40" s="14">
        <v>45584</v>
      </c>
      <c r="C40" s="13" t="s">
        <v>27</v>
      </c>
      <c r="D40" s="13" t="s">
        <v>22</v>
      </c>
      <c r="E40" s="13" t="s">
        <v>23</v>
      </c>
      <c r="F40" s="13">
        <v>23</v>
      </c>
      <c r="G40" s="13">
        <v>49.99</v>
      </c>
      <c r="H40" s="13">
        <v>15</v>
      </c>
      <c r="I40" s="13">
        <v>977.3</v>
      </c>
      <c r="J40" s="15" t="str">
        <f t="shared" si="0"/>
        <v>Standard Price</v>
      </c>
      <c r="K40" s="13" t="str">
        <f t="shared" si="1"/>
        <v>OR</v>
      </c>
      <c r="L40" s="13" t="str">
        <f t="shared" si="4"/>
        <v>39</v>
      </c>
      <c r="M40" s="13" t="str">
        <f t="shared" si="3"/>
        <v>-10</v>
      </c>
    </row>
    <row r="41" customHeight="1" spans="1:13">
      <c r="A41" s="15" t="s">
        <v>76</v>
      </c>
      <c r="B41" s="16">
        <v>45389</v>
      </c>
      <c r="C41" s="15" t="s">
        <v>14</v>
      </c>
      <c r="D41" s="15" t="s">
        <v>34</v>
      </c>
      <c r="E41" s="15" t="s">
        <v>20</v>
      </c>
      <c r="F41" s="15">
        <v>23</v>
      </c>
      <c r="G41" s="15">
        <v>499.99</v>
      </c>
      <c r="H41" s="15">
        <v>15</v>
      </c>
      <c r="I41" s="15">
        <v>9774.8</v>
      </c>
      <c r="J41" s="15" t="str">
        <f t="shared" si="0"/>
        <v>Standard Price</v>
      </c>
      <c r="K41" s="13" t="str">
        <f t="shared" si="1"/>
        <v>OR</v>
      </c>
      <c r="L41" s="15" t="str">
        <f t="shared" si="4"/>
        <v>40</v>
      </c>
      <c r="M41" s="15" t="str">
        <f t="shared" si="3"/>
        <v>-10</v>
      </c>
    </row>
    <row r="42" customHeight="1" spans="1:13">
      <c r="A42" s="13" t="s">
        <v>77</v>
      </c>
      <c r="B42" s="17">
        <v>45502</v>
      </c>
      <c r="C42" s="13" t="s">
        <v>14</v>
      </c>
      <c r="D42" s="13" t="s">
        <v>19</v>
      </c>
      <c r="E42" s="13" t="s">
        <v>20</v>
      </c>
      <c r="F42" s="13">
        <v>4</v>
      </c>
      <c r="G42" s="13">
        <v>29.99</v>
      </c>
      <c r="H42" s="13">
        <v>15</v>
      </c>
      <c r="I42" s="13">
        <v>101.97</v>
      </c>
      <c r="J42" s="15" t="str">
        <f t="shared" si="0"/>
        <v>Standard Price</v>
      </c>
      <c r="K42" s="13" t="str">
        <f t="shared" si="1"/>
        <v>OR</v>
      </c>
      <c r="L42" s="13" t="str">
        <f t="shared" si="4"/>
        <v>41</v>
      </c>
      <c r="M42" s="13" t="str">
        <f t="shared" si="3"/>
        <v>-10</v>
      </c>
    </row>
    <row r="43" customHeight="1" spans="1:13">
      <c r="A43" s="15" t="s">
        <v>78</v>
      </c>
      <c r="B43" s="16">
        <v>45465</v>
      </c>
      <c r="C43" s="15" t="s">
        <v>47</v>
      </c>
      <c r="D43" s="15" t="s">
        <v>22</v>
      </c>
      <c r="E43" s="15" t="s">
        <v>23</v>
      </c>
      <c r="F43" s="15">
        <v>13</v>
      </c>
      <c r="G43" s="15">
        <v>49.99</v>
      </c>
      <c r="H43" s="15">
        <v>20</v>
      </c>
      <c r="I43" s="15">
        <v>519.9</v>
      </c>
      <c r="J43" s="15" t="str">
        <f t="shared" si="0"/>
        <v>Standard Price</v>
      </c>
      <c r="K43" s="13" t="str">
        <f t="shared" si="1"/>
        <v>OR</v>
      </c>
      <c r="L43" s="15" t="str">
        <f t="shared" si="4"/>
        <v>42</v>
      </c>
      <c r="M43" s="15" t="str">
        <f t="shared" si="3"/>
        <v>-10</v>
      </c>
    </row>
    <row r="44" customHeight="1" spans="1:13">
      <c r="A44" s="13" t="s">
        <v>79</v>
      </c>
      <c r="B44" s="17">
        <v>45521</v>
      </c>
      <c r="C44" s="13" t="s">
        <v>27</v>
      </c>
      <c r="D44" s="13" t="s">
        <v>55</v>
      </c>
      <c r="E44" s="13" t="s">
        <v>23</v>
      </c>
      <c r="F44" s="13">
        <v>18</v>
      </c>
      <c r="G44" s="13">
        <v>349.99</v>
      </c>
      <c r="H44" s="13">
        <v>15</v>
      </c>
      <c r="I44" s="13">
        <v>5354.85</v>
      </c>
      <c r="J44" s="15" t="str">
        <f t="shared" si="0"/>
        <v>Standard Price</v>
      </c>
      <c r="K44" s="13" t="str">
        <f t="shared" si="1"/>
        <v>OR</v>
      </c>
      <c r="L44" s="13" t="str">
        <f t="shared" si="4"/>
        <v>43</v>
      </c>
      <c r="M44" s="13" t="str">
        <f t="shared" si="3"/>
        <v>-10</v>
      </c>
    </row>
    <row r="45" customHeight="1" spans="1:13">
      <c r="A45" s="15" t="s">
        <v>80</v>
      </c>
      <c r="B45" s="16">
        <v>45419</v>
      </c>
      <c r="C45" s="15" t="s">
        <v>27</v>
      </c>
      <c r="D45" s="15" t="s">
        <v>62</v>
      </c>
      <c r="E45" s="15" t="s">
        <v>23</v>
      </c>
      <c r="F45" s="15">
        <v>7</v>
      </c>
      <c r="G45" s="15">
        <v>199.99</v>
      </c>
      <c r="H45" s="15">
        <v>0</v>
      </c>
      <c r="I45" s="15">
        <v>1399.93</v>
      </c>
      <c r="J45" s="15" t="str">
        <f t="shared" si="0"/>
        <v>Standard Price</v>
      </c>
      <c r="K45" s="13" t="str">
        <f t="shared" si="1"/>
        <v>OR</v>
      </c>
      <c r="L45" s="15" t="str">
        <f t="shared" si="4"/>
        <v>44</v>
      </c>
      <c r="M45" s="15" t="str">
        <f t="shared" si="3"/>
        <v>-10</v>
      </c>
    </row>
    <row r="46" customHeight="1" spans="1:13">
      <c r="A46" s="13" t="s">
        <v>81</v>
      </c>
      <c r="B46" s="14">
        <v>45625</v>
      </c>
      <c r="C46" s="13" t="s">
        <v>14</v>
      </c>
      <c r="D46" s="13" t="s">
        <v>19</v>
      </c>
      <c r="E46" s="13" t="s">
        <v>20</v>
      </c>
      <c r="F46" s="13">
        <v>49</v>
      </c>
      <c r="G46" s="13">
        <v>29.99</v>
      </c>
      <c r="H46" s="13">
        <v>5</v>
      </c>
      <c r="I46" s="13">
        <v>1396.03</v>
      </c>
      <c r="J46" s="15" t="str">
        <f t="shared" si="0"/>
        <v>Standard Price</v>
      </c>
      <c r="K46" s="13" t="str">
        <f t="shared" si="1"/>
        <v>OR</v>
      </c>
      <c r="L46" s="13" t="str">
        <f t="shared" si="4"/>
        <v>45</v>
      </c>
      <c r="M46" s="13" t="str">
        <f t="shared" si="3"/>
        <v>-10</v>
      </c>
    </row>
    <row r="47" customHeight="1" spans="1:13">
      <c r="A47" s="15" t="s">
        <v>82</v>
      </c>
      <c r="B47" s="16">
        <v>45377</v>
      </c>
      <c r="C47" s="15" t="s">
        <v>27</v>
      </c>
      <c r="D47" s="15" t="s">
        <v>48</v>
      </c>
      <c r="E47" s="15" t="s">
        <v>20</v>
      </c>
      <c r="F47" s="15">
        <v>14</v>
      </c>
      <c r="G47" s="15">
        <v>89.99</v>
      </c>
      <c r="H47" s="15">
        <v>15</v>
      </c>
      <c r="I47" s="15">
        <v>1070.88</v>
      </c>
      <c r="J47" s="15" t="str">
        <f t="shared" si="0"/>
        <v>Standard Price</v>
      </c>
      <c r="K47" s="13" t="str">
        <f t="shared" si="1"/>
        <v>OR</v>
      </c>
      <c r="L47" s="15" t="str">
        <f t="shared" si="4"/>
        <v>46</v>
      </c>
      <c r="M47" s="15" t="str">
        <f t="shared" si="3"/>
        <v>-10</v>
      </c>
    </row>
    <row r="48" customHeight="1" spans="1:13">
      <c r="A48" s="13" t="s">
        <v>83</v>
      </c>
      <c r="B48" s="17">
        <v>45322</v>
      </c>
      <c r="C48" s="13" t="s">
        <v>27</v>
      </c>
      <c r="D48" s="13" t="s">
        <v>37</v>
      </c>
      <c r="E48" s="13" t="s">
        <v>20</v>
      </c>
      <c r="F48" s="13">
        <v>25</v>
      </c>
      <c r="G48" s="13">
        <v>1299.99</v>
      </c>
      <c r="H48" s="13">
        <v>10</v>
      </c>
      <c r="I48" s="13">
        <v>29249.78</v>
      </c>
      <c r="J48" s="15" t="str">
        <f t="shared" si="0"/>
        <v>High Price</v>
      </c>
      <c r="K48" s="13" t="str">
        <f t="shared" si="1"/>
        <v>OR</v>
      </c>
      <c r="L48" s="13" t="str">
        <f t="shared" si="4"/>
        <v>47</v>
      </c>
      <c r="M48" s="13" t="str">
        <f t="shared" si="3"/>
        <v>-10</v>
      </c>
    </row>
    <row r="49" customHeight="1" spans="1:13">
      <c r="A49" s="15" t="s">
        <v>84</v>
      </c>
      <c r="B49" s="16">
        <v>45524</v>
      </c>
      <c r="C49" s="15" t="s">
        <v>27</v>
      </c>
      <c r="D49" s="15" t="s">
        <v>62</v>
      </c>
      <c r="E49" s="15" t="s">
        <v>23</v>
      </c>
      <c r="F49" s="15">
        <v>43</v>
      </c>
      <c r="G49" s="15">
        <v>199.99</v>
      </c>
      <c r="H49" s="15">
        <v>15</v>
      </c>
      <c r="I49" s="15">
        <v>7309.63</v>
      </c>
      <c r="J49" s="15" t="str">
        <f t="shared" si="0"/>
        <v>Standard Price</v>
      </c>
      <c r="K49" s="13" t="str">
        <f t="shared" si="1"/>
        <v>OR</v>
      </c>
      <c r="L49" s="15" t="str">
        <f t="shared" si="4"/>
        <v>48</v>
      </c>
      <c r="M49" s="15" t="str">
        <f t="shared" si="3"/>
        <v>-10</v>
      </c>
    </row>
    <row r="50" customHeight="1" spans="1:13">
      <c r="A50" s="13" t="s">
        <v>85</v>
      </c>
      <c r="B50" s="17">
        <v>45371</v>
      </c>
      <c r="C50" s="13" t="s">
        <v>31</v>
      </c>
      <c r="D50" s="13" t="s">
        <v>22</v>
      </c>
      <c r="E50" s="13" t="s">
        <v>23</v>
      </c>
      <c r="F50" s="13">
        <v>4</v>
      </c>
      <c r="G50" s="13">
        <v>49.99</v>
      </c>
      <c r="H50" s="13">
        <v>20</v>
      </c>
      <c r="I50" s="13">
        <v>159.97</v>
      </c>
      <c r="J50" s="15" t="str">
        <f t="shared" si="0"/>
        <v>Standard Price</v>
      </c>
      <c r="K50" s="13" t="str">
        <f t="shared" si="1"/>
        <v>OR</v>
      </c>
      <c r="L50" s="13" t="str">
        <f t="shared" si="4"/>
        <v>49</v>
      </c>
      <c r="M50" s="13" t="str">
        <f t="shared" si="3"/>
        <v>-10</v>
      </c>
    </row>
    <row r="51" customHeight="1" spans="1:13">
      <c r="A51" s="15" t="s">
        <v>86</v>
      </c>
      <c r="B51" s="16">
        <v>45569</v>
      </c>
      <c r="C51" s="15" t="s">
        <v>31</v>
      </c>
      <c r="D51" s="15" t="s">
        <v>37</v>
      </c>
      <c r="E51" s="15" t="s">
        <v>20</v>
      </c>
      <c r="F51" s="15">
        <v>4</v>
      </c>
      <c r="G51" s="15">
        <v>1299.99</v>
      </c>
      <c r="H51" s="15">
        <v>20</v>
      </c>
      <c r="I51" s="15">
        <v>4159.97</v>
      </c>
      <c r="J51" s="15" t="str">
        <f t="shared" si="0"/>
        <v>High Price</v>
      </c>
      <c r="K51" s="13" t="str">
        <f t="shared" si="1"/>
        <v>OR</v>
      </c>
      <c r="L51" s="15" t="str">
        <f t="shared" si="4"/>
        <v>50</v>
      </c>
      <c r="M51" s="15" t="str">
        <f t="shared" si="3"/>
        <v>-10</v>
      </c>
    </row>
    <row r="52" customHeight="1" spans="1:13">
      <c r="J52" s="24"/>
      <c r="M52" s="23" t="str">
        <f t="shared" si="3"/>
        <v/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6"/>
  <sheetViews>
    <sheetView workbookViewId="0">
      <selection activeCell="A1" sqref="A1:E3"/>
    </sheetView>
  </sheetViews>
  <sheetFormatPr defaultColWidth="12.6363636363636" defaultRowHeight="15.75" customHeight="1"/>
  <cols>
    <col min="1" max="1" width="2.72727272727273" customWidth="1"/>
    <col min="2" max="2" width="44.6363636363636" customWidth="1"/>
    <col min="3" max="3" width="35.6363636363636" customWidth="1"/>
    <col min="4" max="4" width="47.2727272727273" customWidth="1"/>
    <col min="5" max="5" width="18.0909090909091" customWidth="1"/>
  </cols>
  <sheetData>
    <row r="1" customHeight="1" spans="1:26">
      <c r="A1" s="1" t="s">
        <v>87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3" t="s">
        <v>88</v>
      </c>
      <c r="C5" s="4"/>
      <c r="D5" s="4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6" t="s">
        <v>89</v>
      </c>
      <c r="C6" s="6" t="s">
        <v>90</v>
      </c>
      <c r="D6" s="6" t="s">
        <v>91</v>
      </c>
      <c r="E6" s="6" t="s">
        <v>92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7" t="s">
        <v>93</v>
      </c>
      <c r="C7" s="8" t="s">
        <v>94</v>
      </c>
      <c r="D7" s="9" t="s">
        <v>95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7" t="s">
        <v>96</v>
      </c>
      <c r="C8" s="8" t="s">
        <v>97</v>
      </c>
      <c r="D8" s="9" t="s">
        <v>98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7" t="s">
        <v>99</v>
      </c>
      <c r="C9" s="8" t="s">
        <v>100</v>
      </c>
      <c r="D9" s="9" t="s">
        <v>101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7" t="s">
        <v>102</v>
      </c>
      <c r="C10" s="8" t="s">
        <v>103</v>
      </c>
      <c r="D10" s="9" t="s">
        <v>104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10"/>
      <c r="C11" s="10"/>
      <c r="D11" s="1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3" t="s">
        <v>105</v>
      </c>
      <c r="C12" s="4"/>
      <c r="D12" s="4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6" t="s">
        <v>89</v>
      </c>
      <c r="C13" s="6" t="s">
        <v>106</v>
      </c>
      <c r="D13" s="6" t="s">
        <v>91</v>
      </c>
      <c r="E13" s="6" t="s">
        <v>92</v>
      </c>
      <c r="F13" s="1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7" t="s">
        <v>107</v>
      </c>
      <c r="C14" s="8" t="s">
        <v>108</v>
      </c>
      <c r="D14" s="9" t="s">
        <v>109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7" t="s">
        <v>110</v>
      </c>
      <c r="C15" s="8" t="s">
        <v>111</v>
      </c>
      <c r="D15" s="9" t="s">
        <v>112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7" t="s">
        <v>113</v>
      </c>
      <c r="C16" s="8" t="s">
        <v>114</v>
      </c>
      <c r="D16" s="9" t="s">
        <v>115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7" t="s">
        <v>116</v>
      </c>
      <c r="C17" s="8" t="s">
        <v>117</v>
      </c>
      <c r="D17" s="9" t="s">
        <v>118</v>
      </c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7" t="s">
        <v>119</v>
      </c>
      <c r="C18" s="8" t="s">
        <v>120</v>
      </c>
      <c r="D18" s="9" t="s">
        <v>121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7" t="s">
        <v>122</v>
      </c>
      <c r="C19" s="8" t="s">
        <v>123</v>
      </c>
      <c r="D19" s="9" t="s">
        <v>124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7" t="s">
        <v>125</v>
      </c>
      <c r="C20" s="8" t="s">
        <v>126</v>
      </c>
      <c r="D20" s="9" t="s">
        <v>127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7" t="s">
        <v>128</v>
      </c>
      <c r="C21" s="8" t="s">
        <v>129</v>
      </c>
      <c r="D21" s="9" t="s">
        <v>130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7" t="s">
        <v>131</v>
      </c>
      <c r="C22" s="8" t="s">
        <v>132</v>
      </c>
      <c r="D22" s="9" t="s">
        <v>133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10"/>
      <c r="C23" s="10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3" t="s">
        <v>134</v>
      </c>
      <c r="C24" s="4"/>
      <c r="D24" s="4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6" t="s">
        <v>89</v>
      </c>
      <c r="C25" s="6" t="s">
        <v>106</v>
      </c>
      <c r="D25" s="6" t="s">
        <v>91</v>
      </c>
      <c r="E25" s="6" t="s">
        <v>92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7" t="s">
        <v>135</v>
      </c>
      <c r="C26" s="8" t="s">
        <v>136</v>
      </c>
      <c r="D26" s="9" t="s">
        <v>137</v>
      </c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11" t="s">
        <v>138</v>
      </c>
      <c r="C27" s="8" t="s">
        <v>139</v>
      </c>
      <c r="D27" s="9" t="s">
        <v>140</v>
      </c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11" t="s">
        <v>141</v>
      </c>
      <c r="C28" s="8" t="s">
        <v>142</v>
      </c>
      <c r="D28" s="9" t="s">
        <v>143</v>
      </c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11" t="s">
        <v>144</v>
      </c>
      <c r="C29" s="8" t="s">
        <v>145</v>
      </c>
      <c r="D29" s="9" t="s">
        <v>146</v>
      </c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3" t="s">
        <v>147</v>
      </c>
      <c r="C31" s="4"/>
      <c r="D31" s="4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6" t="s">
        <v>89</v>
      </c>
      <c r="C32" s="6" t="s">
        <v>106</v>
      </c>
      <c r="D32" s="6" t="s">
        <v>91</v>
      </c>
      <c r="E32" s="6" t="s">
        <v>92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7" t="s">
        <v>148</v>
      </c>
      <c r="C33" s="8" t="s">
        <v>149</v>
      </c>
      <c r="D33" s="9" t="s">
        <v>150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7" t="s">
        <v>151</v>
      </c>
      <c r="C34" s="8" t="s">
        <v>152</v>
      </c>
      <c r="D34" s="9" t="s">
        <v>153</v>
      </c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7" t="s">
        <v>154</v>
      </c>
      <c r="C35" s="8" t="s">
        <v>155</v>
      </c>
      <c r="D35" s="9" t="s">
        <v>156</v>
      </c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7" t="s">
        <v>157</v>
      </c>
      <c r="C36" s="8" t="s">
        <v>158</v>
      </c>
      <c r="D36" s="9" t="s">
        <v>159</v>
      </c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7" t="s">
        <v>160</v>
      </c>
      <c r="C37" s="8" t="s">
        <v>161</v>
      </c>
      <c r="D37" s="9" t="s">
        <v>162</v>
      </c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7" t="s">
        <v>163</v>
      </c>
      <c r="C38" s="8" t="s">
        <v>164</v>
      </c>
      <c r="D38" s="9" t="s">
        <v>165</v>
      </c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7" t="s">
        <v>166</v>
      </c>
      <c r="C39" s="8" t="s">
        <v>167</v>
      </c>
      <c r="D39" s="9" t="s">
        <v>168</v>
      </c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5">
    <mergeCell ref="B5:E5"/>
    <mergeCell ref="B12:E12"/>
    <mergeCell ref="B24:E24"/>
    <mergeCell ref="B31:E31"/>
    <mergeCell ref="A1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DB 1</vt:lpstr>
      <vt:lpstr>Excel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shibu</cp:lastModifiedBy>
  <dcterms:created xsi:type="dcterms:W3CDTF">2026-05-31T15:24:00Z</dcterms:created>
  <dcterms:modified xsi:type="dcterms:W3CDTF">2026-06-05T10:26:34Z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00259ABC509A4E59B30AE925834A81DC_13</vt:lpwstr>
  </property>
</Properties>
</file>